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715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kennedy/Documents/Case Study Stats 6371/data/"/>
    </mc:Choice>
  </mc:AlternateContent>
  <xr:revisionPtr revIDLastSave="0" documentId="13_ncr:40009_{20DBD3E0-3F9C-0944-93DF-AC3302EDCDCB}" xr6:coauthVersionLast="43" xr6:coauthVersionMax="43" xr10:uidLastSave="{00000000-0000-0000-0000-000000000000}"/>
  <bookViews>
    <workbookView xWindow="0" yWindow="460" windowWidth="33600" windowHeight="19320" activeTab="1"/>
  </bookViews>
  <sheets>
    <sheet name="na_summary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73" i="1" l="1"/>
  <c r="O73" i="1"/>
  <c r="N73" i="1"/>
  <c r="P72" i="1"/>
  <c r="O72" i="1"/>
  <c r="N72" i="1"/>
  <c r="P71" i="1"/>
  <c r="O71" i="1"/>
  <c r="N71" i="1"/>
  <c r="P70" i="1"/>
  <c r="O70" i="1"/>
  <c r="N70" i="1"/>
  <c r="P69" i="1"/>
  <c r="O69" i="1"/>
  <c r="N69" i="1"/>
  <c r="P68" i="1"/>
  <c r="O68" i="1"/>
  <c r="N68" i="1"/>
  <c r="P67" i="1"/>
  <c r="O67" i="1"/>
  <c r="N67" i="1"/>
  <c r="P66" i="1"/>
  <c r="O66" i="1"/>
  <c r="N66" i="1"/>
  <c r="P65" i="1"/>
  <c r="O65" i="1"/>
  <c r="N65" i="1"/>
  <c r="P64" i="1"/>
  <c r="O64" i="1"/>
  <c r="N64" i="1"/>
  <c r="P63" i="1"/>
  <c r="O63" i="1"/>
  <c r="N63" i="1"/>
  <c r="P62" i="1"/>
  <c r="O62" i="1"/>
  <c r="N62" i="1"/>
  <c r="P61" i="1"/>
  <c r="O61" i="1"/>
  <c r="N61" i="1"/>
  <c r="P60" i="1"/>
  <c r="O60" i="1"/>
  <c r="N60" i="1"/>
  <c r="P59" i="1"/>
  <c r="O59" i="1"/>
  <c r="N59" i="1"/>
  <c r="P58" i="1"/>
  <c r="O58" i="1"/>
  <c r="N58" i="1"/>
  <c r="P57" i="1"/>
  <c r="O57" i="1"/>
  <c r="N57" i="1"/>
  <c r="P56" i="1"/>
  <c r="O56" i="1"/>
  <c r="N56" i="1"/>
  <c r="P55" i="1"/>
  <c r="O55" i="1"/>
  <c r="N55" i="1"/>
  <c r="P54" i="1"/>
  <c r="O54" i="1"/>
  <c r="N54" i="1"/>
  <c r="P53" i="1"/>
  <c r="O53" i="1"/>
  <c r="N53" i="1"/>
  <c r="P52" i="1"/>
  <c r="O52" i="1"/>
  <c r="N52" i="1"/>
  <c r="P51" i="1"/>
  <c r="O51" i="1"/>
  <c r="N51" i="1"/>
  <c r="P50" i="1"/>
  <c r="O50" i="1"/>
  <c r="N50" i="1"/>
  <c r="P49" i="1"/>
  <c r="O49" i="1"/>
  <c r="N49" i="1"/>
  <c r="P48" i="1"/>
  <c r="O48" i="1"/>
  <c r="N48" i="1"/>
  <c r="P47" i="1"/>
  <c r="O47" i="1"/>
  <c r="N47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P43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P42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N43" i="1"/>
  <c r="M41" i="1"/>
  <c r="M43" i="1" s="1"/>
  <c r="K43" i="1"/>
  <c r="J43" i="1"/>
  <c r="J41" i="1"/>
  <c r="D3" i="1"/>
  <c r="E3" i="1"/>
  <c r="D4" i="1"/>
  <c r="E4" i="1"/>
  <c r="D5" i="1"/>
  <c r="E5" i="1"/>
  <c r="D6" i="1"/>
  <c r="E6" i="1"/>
  <c r="E2" i="1"/>
  <c r="D2" i="1"/>
</calcChain>
</file>

<file path=xl/sharedStrings.xml><?xml version="1.0" encoding="utf-8"?>
<sst xmlns="http://schemas.openxmlformats.org/spreadsheetml/2006/main" count="91" uniqueCount="91">
  <si>
    <t>na_count_test</t>
  </si>
  <si>
    <t>na_count_train</t>
  </si>
  <si>
    <t>Id</t>
  </si>
  <si>
    <t>MSSubClass</t>
  </si>
  <si>
    <t>MSZoning</t>
  </si>
  <si>
    <t>LotFrontage</t>
  </si>
  <si>
    <t>LotArea</t>
  </si>
  <si>
    <t>Street</t>
  </si>
  <si>
    <t>Alley</t>
  </si>
  <si>
    <t>LotShape</t>
  </si>
  <si>
    <t>LandContour</t>
  </si>
  <si>
    <t>Utilities</t>
  </si>
  <si>
    <t>LotConfig</t>
  </si>
  <si>
    <t>LandSlope</t>
  </si>
  <si>
    <t>Neighborhood</t>
  </si>
  <si>
    <t>Condition1</t>
  </si>
  <si>
    <t>Condition2</t>
  </si>
  <si>
    <t>BldgType</t>
  </si>
  <si>
    <t>HouseStyle</t>
  </si>
  <si>
    <t>OverallQual</t>
  </si>
  <si>
    <t>OverallCond</t>
  </si>
  <si>
    <t>YearBuilt</t>
  </si>
  <si>
    <t>YearRemodAdd</t>
  </si>
  <si>
    <t>RoofStyle</t>
  </si>
  <si>
    <t>RoofMatl</t>
  </si>
  <si>
    <t>Exterior1st</t>
  </si>
  <si>
    <t>Exterior2nd</t>
  </si>
  <si>
    <t>MasVnrType</t>
  </si>
  <si>
    <t>MasVnrArea</t>
  </si>
  <si>
    <t>ExterQual</t>
  </si>
  <si>
    <t>ExterCond</t>
  </si>
  <si>
    <t>Foundation</t>
  </si>
  <si>
    <t>BsmtQual</t>
  </si>
  <si>
    <t>BsmtCond</t>
  </si>
  <si>
    <t>BsmtExposure</t>
  </si>
  <si>
    <t>BsmtFinType1</t>
  </si>
  <si>
    <t>BsmtFinSF1</t>
  </si>
  <si>
    <t>BsmtFinType2</t>
  </si>
  <si>
    <t>BsmtFinSF2</t>
  </si>
  <si>
    <t>BsmtUnfSF</t>
  </si>
  <si>
    <t>TotalBsmtSF</t>
  </si>
  <si>
    <t>Heating</t>
  </si>
  <si>
    <t>HeatingQC</t>
  </si>
  <si>
    <t>CentralAir</t>
  </si>
  <si>
    <t>Electrical</t>
  </si>
  <si>
    <t>X1stFlrSF</t>
  </si>
  <si>
    <t>X2ndFlrSF</t>
  </si>
  <si>
    <t>LowQualFinSF</t>
  </si>
  <si>
    <t>GrLivArea</t>
  </si>
  <si>
    <t>BsmtFullBath</t>
  </si>
  <si>
    <t>BsmtHalfBath</t>
  </si>
  <si>
    <t>FullBath</t>
  </si>
  <si>
    <t>HalfBath</t>
  </si>
  <si>
    <t>BedroomAbvGr</t>
  </si>
  <si>
    <t>KitchenAbvGr</t>
  </si>
  <si>
    <t>KitchenQual</t>
  </si>
  <si>
    <t>TotRmsAbvGrd</t>
  </si>
  <si>
    <t>Functional</t>
  </si>
  <si>
    <t>Fireplaces</t>
  </si>
  <si>
    <t>FireplaceQu</t>
  </si>
  <si>
    <t>GarageType</t>
  </si>
  <si>
    <t>GarageYrBlt</t>
  </si>
  <si>
    <t>GarageFinish</t>
  </si>
  <si>
    <t>GarageCars</t>
  </si>
  <si>
    <t>GarageArea</t>
  </si>
  <si>
    <t>GarageQual</t>
  </si>
  <si>
    <t>GarageCond</t>
  </si>
  <si>
    <t>PavedDrive</t>
  </si>
  <si>
    <t>WoodDeckSF</t>
  </si>
  <si>
    <t>OpenPorchSF</t>
  </si>
  <si>
    <t>EnclosedPorch</t>
  </si>
  <si>
    <t>X3SsnPorch</t>
  </si>
  <si>
    <t>ScreenPorch</t>
  </si>
  <si>
    <t>PoolArea</t>
  </si>
  <si>
    <t>PoolQC</t>
  </si>
  <si>
    <t>Fence</t>
  </si>
  <si>
    <t>MiscFeature</t>
  </si>
  <si>
    <t>MiscVal</t>
  </si>
  <si>
    <t>MoSold</t>
  </si>
  <si>
    <t>YrSold</t>
  </si>
  <si>
    <t>SaleType</t>
  </si>
  <si>
    <t>SaleCondition</t>
  </si>
  <si>
    <t>Names</t>
  </si>
  <si>
    <t>Edwards</t>
  </si>
  <si>
    <t>BrkSide</t>
  </si>
  <si>
    <t>Forward</t>
  </si>
  <si>
    <t>Backward</t>
  </si>
  <si>
    <t>Stepwise (Custom)</t>
  </si>
  <si>
    <t>Adj R^2</t>
  </si>
  <si>
    <t>Kaggle</t>
  </si>
  <si>
    <t>CV Press (^12)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</si>
</sst>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6" formatCode="_(* #,##0_);_(* \(#,##0\);_(* &quot;-&quot;??_);_(@_)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0" fontId="0" fillId="0" borderId="0" xfId="2" applyNumberFormat="1" applyFont="1"/>
    <xf numFmtId="166" fontId="0" fillId="0" borderId="0" xfId="1" applyNumberFormat="1" applyFont="1"/>
    <xf numFmtId="0" fontId="0" fillId="0" borderId="0" xfId="0" applyAlignment="1">
      <alignment horizont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na_summary!$M$47:$M$73</c:f>
              <c:numCache>
                <c:formatCode>General</c:formatCode>
                <c:ptCount val="27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</c:numCache>
            </c:numRef>
          </c:xVal>
          <c:yVal>
            <c:numRef>
              <c:f>na_summary!$N$47:$N$73</c:f>
              <c:numCache>
                <c:formatCode>General</c:formatCode>
                <c:ptCount val="27"/>
                <c:pt idx="0">
                  <c:v>80108.399999999994</c:v>
                </c:pt>
                <c:pt idx="1">
                  <c:v>85540.4</c:v>
                </c:pt>
                <c:pt idx="2">
                  <c:v>90972.4</c:v>
                </c:pt>
                <c:pt idx="3">
                  <c:v>96404.4</c:v>
                </c:pt>
                <c:pt idx="4">
                  <c:v>101836.4</c:v>
                </c:pt>
                <c:pt idx="5">
                  <c:v>107268.4</c:v>
                </c:pt>
                <c:pt idx="6">
                  <c:v>112700.4</c:v>
                </c:pt>
                <c:pt idx="7">
                  <c:v>118132.4</c:v>
                </c:pt>
                <c:pt idx="8">
                  <c:v>123564.4</c:v>
                </c:pt>
                <c:pt idx="9">
                  <c:v>128996.4</c:v>
                </c:pt>
                <c:pt idx="10">
                  <c:v>134428.4</c:v>
                </c:pt>
                <c:pt idx="11">
                  <c:v>139860.4</c:v>
                </c:pt>
                <c:pt idx="12">
                  <c:v>145292.4</c:v>
                </c:pt>
                <c:pt idx="13">
                  <c:v>150724.4</c:v>
                </c:pt>
                <c:pt idx="14">
                  <c:v>156156.4</c:v>
                </c:pt>
                <c:pt idx="15">
                  <c:v>161588.4</c:v>
                </c:pt>
                <c:pt idx="16">
                  <c:v>167020.4</c:v>
                </c:pt>
                <c:pt idx="17">
                  <c:v>172452.4</c:v>
                </c:pt>
                <c:pt idx="18">
                  <c:v>177884.4</c:v>
                </c:pt>
                <c:pt idx="19">
                  <c:v>183316.4</c:v>
                </c:pt>
                <c:pt idx="20">
                  <c:v>188748.4</c:v>
                </c:pt>
                <c:pt idx="21">
                  <c:v>194180.4</c:v>
                </c:pt>
                <c:pt idx="22">
                  <c:v>199612.4</c:v>
                </c:pt>
                <c:pt idx="23">
                  <c:v>205044.4</c:v>
                </c:pt>
                <c:pt idx="24">
                  <c:v>210476.4</c:v>
                </c:pt>
                <c:pt idx="25">
                  <c:v>215908.4</c:v>
                </c:pt>
                <c:pt idx="26">
                  <c:v>221340.4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1B-3A46-B2E9-22A8834A129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na_summary!$M$47:$M$73</c:f>
              <c:numCache>
                <c:formatCode>General</c:formatCode>
                <c:ptCount val="27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</c:numCache>
            </c:numRef>
          </c:xVal>
          <c:yVal>
            <c:numRef>
              <c:f>na_summary!$O$47:$O$73</c:f>
              <c:numCache>
                <c:formatCode>General</c:formatCode>
                <c:ptCount val="27"/>
                <c:pt idx="0">
                  <c:v>28687.519999999997</c:v>
                </c:pt>
                <c:pt idx="1">
                  <c:v>37403.519999999997</c:v>
                </c:pt>
                <c:pt idx="2">
                  <c:v>46119.519999999997</c:v>
                </c:pt>
                <c:pt idx="3">
                  <c:v>54835.519999999997</c:v>
                </c:pt>
                <c:pt idx="4">
                  <c:v>63551.519999999997</c:v>
                </c:pt>
                <c:pt idx="5">
                  <c:v>72267.51999999999</c:v>
                </c:pt>
                <c:pt idx="6">
                  <c:v>80983.51999999999</c:v>
                </c:pt>
                <c:pt idx="7">
                  <c:v>89699.51999999999</c:v>
                </c:pt>
                <c:pt idx="8">
                  <c:v>98415.51999999999</c:v>
                </c:pt>
                <c:pt idx="9">
                  <c:v>107131.51999999999</c:v>
                </c:pt>
                <c:pt idx="10">
                  <c:v>115847.51999999999</c:v>
                </c:pt>
                <c:pt idx="11">
                  <c:v>124563.51999999999</c:v>
                </c:pt>
                <c:pt idx="12">
                  <c:v>133279.51999999999</c:v>
                </c:pt>
                <c:pt idx="13">
                  <c:v>141995.51999999999</c:v>
                </c:pt>
                <c:pt idx="14">
                  <c:v>150711.51999999999</c:v>
                </c:pt>
                <c:pt idx="15">
                  <c:v>159427.51999999999</c:v>
                </c:pt>
                <c:pt idx="16">
                  <c:v>168143.52</c:v>
                </c:pt>
                <c:pt idx="17">
                  <c:v>176859.51999999999</c:v>
                </c:pt>
                <c:pt idx="18">
                  <c:v>185575.52</c:v>
                </c:pt>
                <c:pt idx="19">
                  <c:v>194291.52</c:v>
                </c:pt>
                <c:pt idx="20">
                  <c:v>203007.52</c:v>
                </c:pt>
                <c:pt idx="21">
                  <c:v>211723.51999999999</c:v>
                </c:pt>
                <c:pt idx="22">
                  <c:v>220439.52</c:v>
                </c:pt>
                <c:pt idx="23">
                  <c:v>229155.52</c:v>
                </c:pt>
                <c:pt idx="24">
                  <c:v>237871.52</c:v>
                </c:pt>
                <c:pt idx="25">
                  <c:v>246587.51999999999</c:v>
                </c:pt>
                <c:pt idx="26">
                  <c:v>255303.52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1B-3A46-B2E9-22A8834A129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na_summary!$M$47:$M$73</c:f>
              <c:numCache>
                <c:formatCode>General</c:formatCode>
                <c:ptCount val="27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</c:numCache>
            </c:numRef>
          </c:xVal>
          <c:yVal>
            <c:numRef>
              <c:f>na_summary!$P$47:$P$73</c:f>
              <c:numCache>
                <c:formatCode>General</c:formatCode>
                <c:ptCount val="27"/>
                <c:pt idx="0">
                  <c:v>91228.099999999991</c:v>
                </c:pt>
                <c:pt idx="1">
                  <c:v>94103.099999999991</c:v>
                </c:pt>
                <c:pt idx="2">
                  <c:v>96978.099999999991</c:v>
                </c:pt>
                <c:pt idx="3">
                  <c:v>99853.099999999991</c:v>
                </c:pt>
                <c:pt idx="4">
                  <c:v>102728.09999999999</c:v>
                </c:pt>
                <c:pt idx="5">
                  <c:v>105603.09999999999</c:v>
                </c:pt>
                <c:pt idx="6">
                  <c:v>108478.09999999999</c:v>
                </c:pt>
                <c:pt idx="7">
                  <c:v>111353.09999999999</c:v>
                </c:pt>
                <c:pt idx="8">
                  <c:v>114228.09999999999</c:v>
                </c:pt>
                <c:pt idx="9">
                  <c:v>117103.09999999999</c:v>
                </c:pt>
                <c:pt idx="10">
                  <c:v>119978.09999999999</c:v>
                </c:pt>
                <c:pt idx="11">
                  <c:v>122853.09999999999</c:v>
                </c:pt>
                <c:pt idx="12">
                  <c:v>125728.09999999999</c:v>
                </c:pt>
                <c:pt idx="13">
                  <c:v>128603.09999999999</c:v>
                </c:pt>
                <c:pt idx="14">
                  <c:v>131478.09999999998</c:v>
                </c:pt>
                <c:pt idx="15">
                  <c:v>134353.09999999998</c:v>
                </c:pt>
                <c:pt idx="16">
                  <c:v>137228.09999999998</c:v>
                </c:pt>
                <c:pt idx="17">
                  <c:v>140103.09999999998</c:v>
                </c:pt>
                <c:pt idx="18">
                  <c:v>142978.09999999998</c:v>
                </c:pt>
                <c:pt idx="19">
                  <c:v>145853.09999999998</c:v>
                </c:pt>
                <c:pt idx="20">
                  <c:v>148728.09999999998</c:v>
                </c:pt>
                <c:pt idx="21">
                  <c:v>151603.09999999998</c:v>
                </c:pt>
                <c:pt idx="22">
                  <c:v>154478.09999999998</c:v>
                </c:pt>
                <c:pt idx="23">
                  <c:v>157353.09999999998</c:v>
                </c:pt>
                <c:pt idx="24">
                  <c:v>160228.09999999998</c:v>
                </c:pt>
                <c:pt idx="25">
                  <c:v>163103.09999999998</c:v>
                </c:pt>
                <c:pt idx="26">
                  <c:v>165978.09999999998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1B-3A46-B2E9-22A8834A1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3228079"/>
        <c:axId val="743229711"/>
      </c:scatterChart>
      <c:valAx>
        <c:axId val="7432280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229711"/>
        <c:crosses val="autoZero"/>
        <c:crossBetween val="midCat"/>
      </c:valAx>
      <c:valAx>
        <c:axId val="743229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2280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273050</xdr:colOff>
      <xdr:row>44</xdr:row>
      <xdr:rowOff>57150</xdr:rowOff>
    </xdr:from>
    <xdr:to>
      <xdr:col>10</xdr:col>
      <xdr:colOff>717550</xdr:colOff>
      <xdr:row>57</xdr:row>
      <xdr:rowOff>158750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93FFA7C-C84C-984B-AA99-90A3919020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81"/>
  <sheetViews>
    <sheetView topLeftCell="A33" workbookViewId="0">
      <selection activeCell="G62" sqref="G62"/>
    </sheetView>
  </sheetViews>
  <sheetFormatPr baseColWidth="10" defaultRowHeight="16" x14ac:dyDescent="0.2"/>
  <cols>
    <col min="1" max="1" width="13.83203125" bestFit="1" customWidth="1"/>
    <col min="2" max="2" width="12.83203125" bestFit="1" customWidth="1"/>
    <col min="3" max="3" width="13.5" bestFit="1" customWidth="1"/>
    <col min="4" max="5" width="10.83203125" style="1"/>
    <col min="16" max="16" width="11.5" bestFit="1" customWidth="1"/>
  </cols>
  <sheetData>
    <row r="1" spans="1:5" x14ac:dyDescent="0.2">
      <c r="B1" t="s">
        <v>0</v>
      </c>
      <c r="C1" t="s">
        <v>1</v>
      </c>
    </row>
    <row r="2" spans="1:5" x14ac:dyDescent="0.2">
      <c r="A2" t="s">
        <v>74</v>
      </c>
      <c r="B2">
        <v>1456</v>
      </c>
      <c r="C2">
        <v>1453</v>
      </c>
      <c r="D2" s="1">
        <f>B2/1460</f>
        <v>0.99726027397260275</v>
      </c>
      <c r="E2" s="1">
        <f>C2/1460</f>
        <v>0.99520547945205484</v>
      </c>
    </row>
    <row r="3" spans="1:5" x14ac:dyDescent="0.2">
      <c r="A3" t="s">
        <v>76</v>
      </c>
      <c r="B3">
        <v>1408</v>
      </c>
      <c r="C3">
        <v>1406</v>
      </c>
      <c r="D3" s="1">
        <f t="shared" ref="D3:D6" si="0">B3/1460</f>
        <v>0.96438356164383565</v>
      </c>
      <c r="E3" s="1">
        <f t="shared" ref="E3:E6" si="1">C3/1460</f>
        <v>0.96301369863013697</v>
      </c>
    </row>
    <row r="4" spans="1:5" x14ac:dyDescent="0.2">
      <c r="A4" t="s">
        <v>8</v>
      </c>
      <c r="B4">
        <v>1352</v>
      </c>
      <c r="C4">
        <v>1369</v>
      </c>
      <c r="D4" s="1">
        <f t="shared" si="0"/>
        <v>0.92602739726027394</v>
      </c>
      <c r="E4" s="1">
        <f t="shared" si="1"/>
        <v>0.93767123287671228</v>
      </c>
    </row>
    <row r="5" spans="1:5" x14ac:dyDescent="0.2">
      <c r="A5" t="s">
        <v>75</v>
      </c>
      <c r="B5">
        <v>1169</v>
      </c>
      <c r="C5">
        <v>1179</v>
      </c>
      <c r="D5" s="1">
        <f t="shared" si="0"/>
        <v>0.80068493150684927</v>
      </c>
      <c r="E5" s="1">
        <f t="shared" si="1"/>
        <v>0.80753424657534245</v>
      </c>
    </row>
    <row r="6" spans="1:5" x14ac:dyDescent="0.2">
      <c r="A6" t="s">
        <v>59</v>
      </c>
      <c r="B6">
        <v>730</v>
      </c>
      <c r="C6">
        <v>690</v>
      </c>
      <c r="D6" s="1">
        <f t="shared" si="0"/>
        <v>0.5</v>
      </c>
      <c r="E6" s="1">
        <f t="shared" si="1"/>
        <v>0.4726027397260274</v>
      </c>
    </row>
    <row r="7" spans="1:5" x14ac:dyDescent="0.2">
      <c r="A7" t="s">
        <v>5</v>
      </c>
      <c r="B7">
        <v>227</v>
      </c>
      <c r="C7">
        <v>259</v>
      </c>
    </row>
    <row r="8" spans="1:5" x14ac:dyDescent="0.2">
      <c r="A8" t="s">
        <v>61</v>
      </c>
      <c r="B8">
        <v>78</v>
      </c>
      <c r="C8">
        <v>81</v>
      </c>
    </row>
    <row r="9" spans="1:5" x14ac:dyDescent="0.2">
      <c r="A9" t="s">
        <v>62</v>
      </c>
      <c r="B9">
        <v>78</v>
      </c>
      <c r="C9">
        <v>81</v>
      </c>
    </row>
    <row r="10" spans="1:5" x14ac:dyDescent="0.2">
      <c r="A10" t="s">
        <v>65</v>
      </c>
      <c r="B10">
        <v>78</v>
      </c>
      <c r="C10">
        <v>81</v>
      </c>
    </row>
    <row r="11" spans="1:5" x14ac:dyDescent="0.2">
      <c r="A11" t="s">
        <v>66</v>
      </c>
      <c r="B11">
        <v>78</v>
      </c>
      <c r="C11">
        <v>81</v>
      </c>
    </row>
    <row r="12" spans="1:5" x14ac:dyDescent="0.2">
      <c r="A12" t="s">
        <v>60</v>
      </c>
      <c r="B12">
        <v>76</v>
      </c>
      <c r="C12">
        <v>81</v>
      </c>
    </row>
    <row r="13" spans="1:5" x14ac:dyDescent="0.2">
      <c r="A13" t="s">
        <v>33</v>
      </c>
      <c r="B13">
        <v>45</v>
      </c>
      <c r="C13">
        <v>37</v>
      </c>
    </row>
    <row r="14" spans="1:5" x14ac:dyDescent="0.2">
      <c r="A14" t="s">
        <v>32</v>
      </c>
      <c r="B14">
        <v>44</v>
      </c>
      <c r="C14">
        <v>37</v>
      </c>
    </row>
    <row r="15" spans="1:5" x14ac:dyDescent="0.2">
      <c r="A15" t="s">
        <v>34</v>
      </c>
      <c r="B15">
        <v>44</v>
      </c>
      <c r="C15">
        <v>38</v>
      </c>
    </row>
    <row r="16" spans="1:5" x14ac:dyDescent="0.2">
      <c r="A16" t="s">
        <v>35</v>
      </c>
      <c r="B16">
        <v>42</v>
      </c>
      <c r="C16">
        <v>37</v>
      </c>
    </row>
    <row r="17" spans="1:3" x14ac:dyDescent="0.2">
      <c r="A17" t="s">
        <v>37</v>
      </c>
      <c r="B17">
        <v>42</v>
      </c>
      <c r="C17">
        <v>38</v>
      </c>
    </row>
    <row r="18" spans="1:3" x14ac:dyDescent="0.2">
      <c r="A18" t="s">
        <v>27</v>
      </c>
      <c r="B18">
        <v>16</v>
      </c>
      <c r="C18">
        <v>8</v>
      </c>
    </row>
    <row r="19" spans="1:3" x14ac:dyDescent="0.2">
      <c r="A19" t="s">
        <v>28</v>
      </c>
      <c r="B19">
        <v>15</v>
      </c>
      <c r="C19">
        <v>8</v>
      </c>
    </row>
    <row r="20" spans="1:3" x14ac:dyDescent="0.2">
      <c r="A20" t="s">
        <v>4</v>
      </c>
      <c r="B20">
        <v>4</v>
      </c>
      <c r="C20">
        <v>0</v>
      </c>
    </row>
    <row r="21" spans="1:3" x14ac:dyDescent="0.2">
      <c r="A21" t="s">
        <v>11</v>
      </c>
      <c r="B21">
        <v>2</v>
      </c>
      <c r="C21">
        <v>0</v>
      </c>
    </row>
    <row r="22" spans="1:3" x14ac:dyDescent="0.2">
      <c r="A22" t="s">
        <v>49</v>
      </c>
      <c r="B22">
        <v>2</v>
      </c>
      <c r="C22">
        <v>0</v>
      </c>
    </row>
    <row r="23" spans="1:3" x14ac:dyDescent="0.2">
      <c r="A23" t="s">
        <v>50</v>
      </c>
      <c r="B23">
        <v>2</v>
      </c>
      <c r="C23">
        <v>0</v>
      </c>
    </row>
    <row r="24" spans="1:3" x14ac:dyDescent="0.2">
      <c r="A24" t="s">
        <v>57</v>
      </c>
      <c r="B24">
        <v>2</v>
      </c>
      <c r="C24">
        <v>0</v>
      </c>
    </row>
    <row r="25" spans="1:3" x14ac:dyDescent="0.2">
      <c r="A25" t="s">
        <v>25</v>
      </c>
      <c r="B25">
        <v>1</v>
      </c>
      <c r="C25">
        <v>0</v>
      </c>
    </row>
    <row r="26" spans="1:3" x14ac:dyDescent="0.2">
      <c r="A26" t="s">
        <v>26</v>
      </c>
      <c r="B26">
        <v>1</v>
      </c>
      <c r="C26">
        <v>0</v>
      </c>
    </row>
    <row r="27" spans="1:3" x14ac:dyDescent="0.2">
      <c r="A27" t="s">
        <v>36</v>
      </c>
      <c r="B27">
        <v>1</v>
      </c>
      <c r="C27">
        <v>0</v>
      </c>
    </row>
    <row r="28" spans="1:3" x14ac:dyDescent="0.2">
      <c r="A28" t="s">
        <v>38</v>
      </c>
      <c r="B28">
        <v>1</v>
      </c>
      <c r="C28">
        <v>0</v>
      </c>
    </row>
    <row r="29" spans="1:3" x14ac:dyDescent="0.2">
      <c r="A29" t="s">
        <v>39</v>
      </c>
      <c r="B29">
        <v>1</v>
      </c>
      <c r="C29">
        <v>0</v>
      </c>
    </row>
    <row r="30" spans="1:3" x14ac:dyDescent="0.2">
      <c r="A30" t="s">
        <v>40</v>
      </c>
      <c r="B30">
        <v>1</v>
      </c>
      <c r="C30">
        <v>0</v>
      </c>
    </row>
    <row r="31" spans="1:3" x14ac:dyDescent="0.2">
      <c r="A31" t="s">
        <v>55</v>
      </c>
      <c r="B31">
        <v>1</v>
      </c>
      <c r="C31">
        <v>0</v>
      </c>
    </row>
    <row r="32" spans="1:3" x14ac:dyDescent="0.2">
      <c r="A32" t="s">
        <v>63</v>
      </c>
      <c r="B32">
        <v>1</v>
      </c>
      <c r="C32">
        <v>0</v>
      </c>
    </row>
    <row r="33" spans="1:42" x14ac:dyDescent="0.2">
      <c r="A33" t="s">
        <v>64</v>
      </c>
      <c r="B33">
        <v>1</v>
      </c>
      <c r="C33">
        <v>0</v>
      </c>
    </row>
    <row r="34" spans="1:42" x14ac:dyDescent="0.2">
      <c r="A34" t="s">
        <v>80</v>
      </c>
      <c r="B34">
        <v>1</v>
      </c>
      <c r="C34">
        <v>0</v>
      </c>
    </row>
    <row r="35" spans="1:42" x14ac:dyDescent="0.2">
      <c r="A35" t="s">
        <v>2</v>
      </c>
      <c r="B35">
        <v>0</v>
      </c>
      <c r="C35">
        <v>0</v>
      </c>
    </row>
    <row r="36" spans="1:42" x14ac:dyDescent="0.2">
      <c r="A36" t="s">
        <v>3</v>
      </c>
      <c r="B36">
        <v>0</v>
      </c>
      <c r="C36">
        <v>0</v>
      </c>
    </row>
    <row r="37" spans="1:42" x14ac:dyDescent="0.2">
      <c r="A37" t="s">
        <v>6</v>
      </c>
      <c r="B37">
        <v>0</v>
      </c>
      <c r="C37">
        <v>0</v>
      </c>
    </row>
    <row r="38" spans="1:42" x14ac:dyDescent="0.2">
      <c r="A38" t="s">
        <v>7</v>
      </c>
      <c r="B38">
        <v>0</v>
      </c>
      <c r="C38">
        <v>0</v>
      </c>
    </row>
    <row r="39" spans="1:42" x14ac:dyDescent="0.2">
      <c r="A39" t="s">
        <v>9</v>
      </c>
      <c r="B39">
        <v>0</v>
      </c>
      <c r="C39">
        <v>0</v>
      </c>
    </row>
    <row r="40" spans="1:42" x14ac:dyDescent="0.2">
      <c r="A40" t="s">
        <v>10</v>
      </c>
      <c r="B40">
        <v>0</v>
      </c>
      <c r="C40">
        <v>0</v>
      </c>
      <c r="P40">
        <v>1464</v>
      </c>
      <c r="Q40">
        <v>200</v>
      </c>
      <c r="R40">
        <v>300</v>
      </c>
      <c r="S40">
        <v>400</v>
      </c>
      <c r="T40">
        <v>500</v>
      </c>
      <c r="U40">
        <v>600</v>
      </c>
      <c r="V40">
        <v>700</v>
      </c>
      <c r="W40">
        <v>800</v>
      </c>
      <c r="X40">
        <v>900</v>
      </c>
      <c r="Y40">
        <v>1000</v>
      </c>
      <c r="Z40">
        <v>1100</v>
      </c>
      <c r="AA40">
        <v>1200</v>
      </c>
      <c r="AB40">
        <v>1300</v>
      </c>
      <c r="AC40">
        <v>1400</v>
      </c>
      <c r="AD40">
        <v>1500</v>
      </c>
      <c r="AE40">
        <v>1600</v>
      </c>
      <c r="AF40">
        <v>1700</v>
      </c>
      <c r="AG40">
        <v>1800</v>
      </c>
      <c r="AH40">
        <v>1900</v>
      </c>
      <c r="AI40">
        <v>2000</v>
      </c>
      <c r="AJ40">
        <v>2100</v>
      </c>
      <c r="AK40">
        <v>2200</v>
      </c>
      <c r="AL40">
        <v>2300</v>
      </c>
      <c r="AM40">
        <v>2400</v>
      </c>
      <c r="AN40">
        <v>2500</v>
      </c>
      <c r="AO40">
        <v>2600</v>
      </c>
      <c r="AP40">
        <v>2700</v>
      </c>
    </row>
    <row r="41" spans="1:42" x14ac:dyDescent="0.2">
      <c r="A41" t="s">
        <v>12</v>
      </c>
      <c r="B41">
        <v>0</v>
      </c>
      <c r="C41">
        <v>0</v>
      </c>
      <c r="J41">
        <f>74676.4</f>
        <v>74676.399999999994</v>
      </c>
      <c r="K41">
        <v>54.32</v>
      </c>
      <c r="M41">
        <f>74676.4</f>
        <v>74676.399999999994</v>
      </c>
      <c r="N41">
        <v>54.32</v>
      </c>
      <c r="O41" s="2" t="s">
        <v>82</v>
      </c>
      <c r="P41" s="2">
        <f>P$40*$N41+$M$41</f>
        <v>154200.88</v>
      </c>
      <c r="Q41">
        <f t="shared" ref="Q41:AP43" si="2">Q$40*$N41+$M$41</f>
        <v>85540.4</v>
      </c>
      <c r="R41">
        <f t="shared" si="2"/>
        <v>90972.4</v>
      </c>
      <c r="S41">
        <f t="shared" si="2"/>
        <v>96404.4</v>
      </c>
      <c r="T41">
        <f t="shared" si="2"/>
        <v>101836.4</v>
      </c>
      <c r="U41">
        <f t="shared" si="2"/>
        <v>107268.4</v>
      </c>
      <c r="V41">
        <f t="shared" si="2"/>
        <v>112700.4</v>
      </c>
      <c r="W41">
        <f t="shared" si="2"/>
        <v>118132.4</v>
      </c>
      <c r="X41">
        <f t="shared" si="2"/>
        <v>123564.4</v>
      </c>
      <c r="Y41">
        <f t="shared" si="2"/>
        <v>128996.4</v>
      </c>
      <c r="Z41">
        <f t="shared" si="2"/>
        <v>134428.4</v>
      </c>
      <c r="AA41">
        <f t="shared" si="2"/>
        <v>139860.4</v>
      </c>
      <c r="AB41">
        <f t="shared" si="2"/>
        <v>145292.4</v>
      </c>
      <c r="AC41">
        <f t="shared" si="2"/>
        <v>150724.4</v>
      </c>
      <c r="AD41">
        <f t="shared" si="2"/>
        <v>156156.4</v>
      </c>
      <c r="AE41">
        <f t="shared" si="2"/>
        <v>161588.4</v>
      </c>
      <c r="AF41">
        <f t="shared" si="2"/>
        <v>167020.4</v>
      </c>
      <c r="AG41">
        <f t="shared" si="2"/>
        <v>172452.4</v>
      </c>
      <c r="AH41">
        <f t="shared" si="2"/>
        <v>177884.4</v>
      </c>
      <c r="AI41">
        <f t="shared" si="2"/>
        <v>183316.4</v>
      </c>
      <c r="AJ41">
        <f t="shared" si="2"/>
        <v>188748.4</v>
      </c>
      <c r="AK41">
        <f t="shared" si="2"/>
        <v>194180.4</v>
      </c>
      <c r="AL41">
        <f t="shared" si="2"/>
        <v>199612.4</v>
      </c>
      <c r="AM41">
        <f t="shared" si="2"/>
        <v>205044.4</v>
      </c>
      <c r="AN41">
        <f t="shared" si="2"/>
        <v>210476.4</v>
      </c>
      <c r="AO41">
        <f t="shared" si="2"/>
        <v>215908.4</v>
      </c>
      <c r="AP41">
        <f t="shared" si="2"/>
        <v>221340.4</v>
      </c>
    </row>
    <row r="42" spans="1:42" x14ac:dyDescent="0.2">
      <c r="A42" t="s">
        <v>13</v>
      </c>
      <c r="B42">
        <v>0</v>
      </c>
      <c r="C42">
        <v>0</v>
      </c>
      <c r="J42">
        <v>-54704.88</v>
      </c>
      <c r="K42">
        <v>32.840000000000003</v>
      </c>
      <c r="M42">
        <v>13676.7</v>
      </c>
      <c r="N42">
        <v>-25.57</v>
      </c>
      <c r="O42" s="2" t="s">
        <v>83</v>
      </c>
      <c r="P42" s="2">
        <f>P$40*$K43+$J$43</f>
        <v>147573.75999999998</v>
      </c>
      <c r="Q42">
        <f t="shared" ref="Q42:AP42" si="3">Q$40*$K43+$J$43</f>
        <v>37403.519999999997</v>
      </c>
      <c r="R42">
        <f t="shared" si="3"/>
        <v>46119.519999999997</v>
      </c>
      <c r="S42">
        <f t="shared" si="3"/>
        <v>54835.519999999997</v>
      </c>
      <c r="T42">
        <f t="shared" si="3"/>
        <v>63551.519999999997</v>
      </c>
      <c r="U42">
        <f t="shared" si="3"/>
        <v>72267.51999999999</v>
      </c>
      <c r="V42">
        <f t="shared" si="3"/>
        <v>80983.51999999999</v>
      </c>
      <c r="W42">
        <f t="shared" si="3"/>
        <v>89699.51999999999</v>
      </c>
      <c r="X42">
        <f t="shared" si="3"/>
        <v>98415.51999999999</v>
      </c>
      <c r="Y42">
        <f t="shared" si="3"/>
        <v>107131.51999999999</v>
      </c>
      <c r="Z42">
        <f t="shared" si="3"/>
        <v>115847.51999999999</v>
      </c>
      <c r="AA42">
        <f t="shared" si="3"/>
        <v>124563.51999999999</v>
      </c>
      <c r="AB42">
        <f t="shared" si="3"/>
        <v>133279.51999999999</v>
      </c>
      <c r="AC42">
        <f t="shared" si="3"/>
        <v>141995.51999999999</v>
      </c>
      <c r="AD42">
        <f t="shared" si="3"/>
        <v>150711.51999999999</v>
      </c>
      <c r="AE42">
        <f t="shared" si="3"/>
        <v>159427.51999999999</v>
      </c>
      <c r="AF42">
        <f t="shared" si="3"/>
        <v>168143.52</v>
      </c>
      <c r="AG42">
        <f t="shared" si="3"/>
        <v>176859.51999999999</v>
      </c>
      <c r="AH42">
        <f t="shared" si="3"/>
        <v>185575.52</v>
      </c>
      <c r="AI42">
        <f t="shared" si="3"/>
        <v>194291.52</v>
      </c>
      <c r="AJ42">
        <f t="shared" si="3"/>
        <v>203007.52</v>
      </c>
      <c r="AK42">
        <f t="shared" si="3"/>
        <v>211723.51999999999</v>
      </c>
      <c r="AL42">
        <f t="shared" si="3"/>
        <v>220439.52</v>
      </c>
      <c r="AM42">
        <f t="shared" si="3"/>
        <v>229155.52</v>
      </c>
      <c r="AN42">
        <f t="shared" si="3"/>
        <v>237871.52</v>
      </c>
      <c r="AO42">
        <f t="shared" si="3"/>
        <v>246587.51999999999</v>
      </c>
      <c r="AP42">
        <f t="shared" si="3"/>
        <v>255303.52</v>
      </c>
    </row>
    <row r="43" spans="1:42" x14ac:dyDescent="0.2">
      <c r="A43" t="s">
        <v>14</v>
      </c>
      <c r="B43">
        <v>0</v>
      </c>
      <c r="C43">
        <v>0</v>
      </c>
      <c r="J43">
        <f>SUM(J41:J42)</f>
        <v>19971.519999999997</v>
      </c>
      <c r="K43">
        <f>SUM(K41:K42)</f>
        <v>87.16</v>
      </c>
      <c r="M43">
        <f>SUM(M41:M42)</f>
        <v>88353.099999999991</v>
      </c>
      <c r="N43">
        <f>SUM(N41:N42)</f>
        <v>28.75</v>
      </c>
      <c r="O43" s="2" t="s">
        <v>84</v>
      </c>
      <c r="P43" s="2">
        <f>P$40*$N43+$M$43</f>
        <v>130443.09999999999</v>
      </c>
      <c r="Q43">
        <f t="shared" ref="Q43:AP43" si="4">Q$40*$N43+$M$43</f>
        <v>94103.099999999991</v>
      </c>
      <c r="R43">
        <f t="shared" si="4"/>
        <v>96978.099999999991</v>
      </c>
      <c r="S43">
        <f t="shared" si="4"/>
        <v>99853.099999999991</v>
      </c>
      <c r="T43">
        <f t="shared" si="4"/>
        <v>102728.09999999999</v>
      </c>
      <c r="U43">
        <f t="shared" si="4"/>
        <v>105603.09999999999</v>
      </c>
      <c r="V43">
        <f t="shared" si="4"/>
        <v>108478.09999999999</v>
      </c>
      <c r="W43">
        <f t="shared" si="4"/>
        <v>111353.09999999999</v>
      </c>
      <c r="X43">
        <f t="shared" si="4"/>
        <v>114228.09999999999</v>
      </c>
      <c r="Y43">
        <f t="shared" si="4"/>
        <v>117103.09999999999</v>
      </c>
      <c r="Z43">
        <f t="shared" si="4"/>
        <v>119978.09999999999</v>
      </c>
      <c r="AA43">
        <f t="shared" si="4"/>
        <v>122853.09999999999</v>
      </c>
      <c r="AB43">
        <f t="shared" si="4"/>
        <v>125728.09999999999</v>
      </c>
      <c r="AC43">
        <f t="shared" si="4"/>
        <v>128603.09999999999</v>
      </c>
      <c r="AD43">
        <f t="shared" si="4"/>
        <v>131478.09999999998</v>
      </c>
      <c r="AE43">
        <f t="shared" si="4"/>
        <v>134353.09999999998</v>
      </c>
      <c r="AF43">
        <f t="shared" si="4"/>
        <v>137228.09999999998</v>
      </c>
      <c r="AG43">
        <f t="shared" si="4"/>
        <v>140103.09999999998</v>
      </c>
      <c r="AH43">
        <f t="shared" si="4"/>
        <v>142978.09999999998</v>
      </c>
      <c r="AI43">
        <f t="shared" si="4"/>
        <v>145853.09999999998</v>
      </c>
      <c r="AJ43">
        <f t="shared" si="4"/>
        <v>148728.09999999998</v>
      </c>
      <c r="AK43">
        <f t="shared" si="4"/>
        <v>151603.09999999998</v>
      </c>
      <c r="AL43">
        <f t="shared" si="4"/>
        <v>154478.09999999998</v>
      </c>
      <c r="AM43">
        <f t="shared" si="4"/>
        <v>157353.09999999998</v>
      </c>
      <c r="AN43">
        <f t="shared" si="4"/>
        <v>160228.09999999998</v>
      </c>
      <c r="AO43">
        <f t="shared" si="4"/>
        <v>163103.09999999998</v>
      </c>
      <c r="AP43">
        <f t="shared" si="4"/>
        <v>165978.09999999998</v>
      </c>
    </row>
    <row r="44" spans="1:42" x14ac:dyDescent="0.2">
      <c r="A44" t="s">
        <v>15</v>
      </c>
      <c r="B44">
        <v>0</v>
      </c>
      <c r="C44">
        <v>0</v>
      </c>
    </row>
    <row r="45" spans="1:42" x14ac:dyDescent="0.2">
      <c r="A45" t="s">
        <v>16</v>
      </c>
      <c r="B45">
        <v>0</v>
      </c>
      <c r="C45">
        <v>0</v>
      </c>
    </row>
    <row r="46" spans="1:42" x14ac:dyDescent="0.2">
      <c r="A46" t="s">
        <v>17</v>
      </c>
      <c r="B46">
        <v>0</v>
      </c>
      <c r="C46">
        <v>0</v>
      </c>
    </row>
    <row r="47" spans="1:42" x14ac:dyDescent="0.2">
      <c r="A47" t="s">
        <v>18</v>
      </c>
      <c r="B47">
        <v>0</v>
      </c>
      <c r="C47">
        <v>0</v>
      </c>
      <c r="M47">
        <v>100</v>
      </c>
      <c r="N47">
        <f>$M47*$N41+$M$41</f>
        <v>80108.399999999994</v>
      </c>
      <c r="O47">
        <f>$M47*$K43+$J$43</f>
        <v>28687.519999999997</v>
      </c>
      <c r="P47">
        <f>$M47*$N43+$M$43</f>
        <v>91228.099999999991</v>
      </c>
    </row>
    <row r="48" spans="1:42" x14ac:dyDescent="0.2">
      <c r="A48" t="s">
        <v>19</v>
      </c>
      <c r="B48">
        <v>0</v>
      </c>
      <c r="C48">
        <v>0</v>
      </c>
      <c r="M48">
        <v>200</v>
      </c>
      <c r="N48">
        <f>$M48*$N41+$M$41</f>
        <v>85540.4</v>
      </c>
      <c r="O48">
        <f>$M48*$K43+$J$43</f>
        <v>37403.519999999997</v>
      </c>
      <c r="P48">
        <f>$M48*$N43+$M$43</f>
        <v>94103.099999999991</v>
      </c>
    </row>
    <row r="49" spans="1:16" x14ac:dyDescent="0.2">
      <c r="A49" t="s">
        <v>20</v>
      </c>
      <c r="B49">
        <v>0</v>
      </c>
      <c r="C49">
        <v>0</v>
      </c>
      <c r="M49">
        <v>300</v>
      </c>
      <c r="N49">
        <f>$M49*$N41+$M$41</f>
        <v>90972.4</v>
      </c>
      <c r="O49">
        <f>$M49*$K43+$J$43</f>
        <v>46119.519999999997</v>
      </c>
      <c r="P49">
        <f>$M49*$N43+$M$43</f>
        <v>96978.099999999991</v>
      </c>
    </row>
    <row r="50" spans="1:16" x14ac:dyDescent="0.2">
      <c r="A50" t="s">
        <v>21</v>
      </c>
      <c r="B50">
        <v>0</v>
      </c>
      <c r="C50">
        <v>0</v>
      </c>
      <c r="M50">
        <v>400</v>
      </c>
      <c r="N50">
        <f>$M50*$N41+$M$41</f>
        <v>96404.4</v>
      </c>
      <c r="O50">
        <f>$M50*$K43+$J$43</f>
        <v>54835.519999999997</v>
      </c>
      <c r="P50">
        <f>$M50*$N43+$M$43</f>
        <v>99853.099999999991</v>
      </c>
    </row>
    <row r="51" spans="1:16" x14ac:dyDescent="0.2">
      <c r="A51" t="s">
        <v>22</v>
      </c>
      <c r="B51">
        <v>0</v>
      </c>
      <c r="C51">
        <v>0</v>
      </c>
      <c r="M51">
        <v>500</v>
      </c>
      <c r="N51">
        <f>$M51*$N41+$M$41</f>
        <v>101836.4</v>
      </c>
      <c r="O51">
        <f>$M51*$K43+$J$43</f>
        <v>63551.519999999997</v>
      </c>
      <c r="P51">
        <f>$M51*$N43+$M$43</f>
        <v>102728.09999999999</v>
      </c>
    </row>
    <row r="52" spans="1:16" x14ac:dyDescent="0.2">
      <c r="A52" t="s">
        <v>23</v>
      </c>
      <c r="B52">
        <v>0</v>
      </c>
      <c r="C52">
        <v>0</v>
      </c>
      <c r="M52">
        <v>600</v>
      </c>
      <c r="N52">
        <f>$M52*$N41+$M$41</f>
        <v>107268.4</v>
      </c>
      <c r="O52">
        <f>$M52*$K43+$J$43</f>
        <v>72267.51999999999</v>
      </c>
      <c r="P52">
        <f>$M52*$N43+$M$43</f>
        <v>105603.09999999999</v>
      </c>
    </row>
    <row r="53" spans="1:16" x14ac:dyDescent="0.2">
      <c r="A53" t="s">
        <v>24</v>
      </c>
      <c r="B53">
        <v>0</v>
      </c>
      <c r="C53">
        <v>0</v>
      </c>
      <c r="M53">
        <v>700</v>
      </c>
      <c r="N53">
        <f>$M53*$N41+$M$41</f>
        <v>112700.4</v>
      </c>
      <c r="O53">
        <f>$M53*$K43+$J$43</f>
        <v>80983.51999999999</v>
      </c>
      <c r="P53">
        <f>$M53*$N43+$M$43</f>
        <v>108478.09999999999</v>
      </c>
    </row>
    <row r="54" spans="1:16" x14ac:dyDescent="0.2">
      <c r="A54" t="s">
        <v>29</v>
      </c>
      <c r="B54">
        <v>0</v>
      </c>
      <c r="C54">
        <v>0</v>
      </c>
      <c r="M54">
        <v>800</v>
      </c>
      <c r="N54">
        <f>$M54*$N41+$M$41</f>
        <v>118132.4</v>
      </c>
      <c r="O54">
        <f>$M54*$K43+$J$43</f>
        <v>89699.51999999999</v>
      </c>
      <c r="P54">
        <f>$M54*$N43+$M$43</f>
        <v>111353.09999999999</v>
      </c>
    </row>
    <row r="55" spans="1:16" x14ac:dyDescent="0.2">
      <c r="A55" t="s">
        <v>30</v>
      </c>
      <c r="B55">
        <v>0</v>
      </c>
      <c r="C55">
        <v>0</v>
      </c>
      <c r="M55">
        <v>900</v>
      </c>
      <c r="N55">
        <f>$M55*$N41+$M$41</f>
        <v>123564.4</v>
      </c>
      <c r="O55">
        <f>$M55*$K43+$J$43</f>
        <v>98415.51999999999</v>
      </c>
      <c r="P55">
        <f>$M55*$N43+$M$43</f>
        <v>114228.09999999999</v>
      </c>
    </row>
    <row r="56" spans="1:16" x14ac:dyDescent="0.2">
      <c r="A56" t="s">
        <v>31</v>
      </c>
      <c r="B56">
        <v>0</v>
      </c>
      <c r="C56">
        <v>0</v>
      </c>
      <c r="M56">
        <v>1000</v>
      </c>
      <c r="N56">
        <f>$M56*$N41+$M$41</f>
        <v>128996.4</v>
      </c>
      <c r="O56">
        <f>$M56*$K43+$J$43</f>
        <v>107131.51999999999</v>
      </c>
      <c r="P56">
        <f>$M56*$N43+$M$43</f>
        <v>117103.09999999999</v>
      </c>
    </row>
    <row r="57" spans="1:16" x14ac:dyDescent="0.2">
      <c r="A57" t="s">
        <v>41</v>
      </c>
      <c r="B57">
        <v>0</v>
      </c>
      <c r="C57">
        <v>0</v>
      </c>
      <c r="M57">
        <v>1100</v>
      </c>
      <c r="N57">
        <f>$M57*$N41+$M$41</f>
        <v>134428.4</v>
      </c>
      <c r="O57">
        <f>$M57*$K43+$J$43</f>
        <v>115847.51999999999</v>
      </c>
      <c r="P57">
        <f>$M57*$N43+$M$43</f>
        <v>119978.09999999999</v>
      </c>
    </row>
    <row r="58" spans="1:16" x14ac:dyDescent="0.2">
      <c r="A58" t="s">
        <v>42</v>
      </c>
      <c r="B58">
        <v>0</v>
      </c>
      <c r="C58">
        <v>0</v>
      </c>
      <c r="M58">
        <v>1200</v>
      </c>
      <c r="N58">
        <f>$M58*$N41+$M$41</f>
        <v>139860.4</v>
      </c>
      <c r="O58">
        <f>$M58*$K43+$J$43</f>
        <v>124563.51999999999</v>
      </c>
      <c r="P58">
        <f>$M58*$N43+$M$43</f>
        <v>122853.09999999999</v>
      </c>
    </row>
    <row r="59" spans="1:16" x14ac:dyDescent="0.2">
      <c r="A59" t="s">
        <v>43</v>
      </c>
      <c r="B59">
        <v>0</v>
      </c>
      <c r="C59">
        <v>0</v>
      </c>
      <c r="M59">
        <v>1300</v>
      </c>
      <c r="N59">
        <f>$M59*$N41+$M$41</f>
        <v>145292.4</v>
      </c>
      <c r="O59">
        <f>$M59*$K43+$J$43</f>
        <v>133279.51999999999</v>
      </c>
      <c r="P59">
        <f>$M59*$N43+$M$43</f>
        <v>125728.09999999999</v>
      </c>
    </row>
    <row r="60" spans="1:16" x14ac:dyDescent="0.2">
      <c r="A60" t="s">
        <v>44</v>
      </c>
      <c r="B60">
        <v>0</v>
      </c>
      <c r="C60">
        <v>1</v>
      </c>
      <c r="M60">
        <v>1400</v>
      </c>
      <c r="N60">
        <f>$M60*$N41+$M$41</f>
        <v>150724.4</v>
      </c>
      <c r="O60">
        <f>$M60*$K43+$J$43</f>
        <v>141995.51999999999</v>
      </c>
      <c r="P60">
        <f>$M60*$N43+$M$43</f>
        <v>128603.09999999999</v>
      </c>
    </row>
    <row r="61" spans="1:16" x14ac:dyDescent="0.2">
      <c r="A61" t="s">
        <v>45</v>
      </c>
      <c r="B61">
        <v>0</v>
      </c>
      <c r="C61">
        <v>0</v>
      </c>
      <c r="M61">
        <v>1500</v>
      </c>
      <c r="N61">
        <f>$M61*$N41+$M$41</f>
        <v>156156.4</v>
      </c>
      <c r="O61">
        <f>$M61*$K43+$J$43</f>
        <v>150711.51999999999</v>
      </c>
      <c r="P61">
        <f>$M61*$N43+$M$43</f>
        <v>131478.09999999998</v>
      </c>
    </row>
    <row r="62" spans="1:16" x14ac:dyDescent="0.2">
      <c r="A62" t="s">
        <v>46</v>
      </c>
      <c r="B62">
        <v>0</v>
      </c>
      <c r="C62">
        <v>0</v>
      </c>
      <c r="M62">
        <v>1600</v>
      </c>
      <c r="N62">
        <f>$M62*$N41+$M$41</f>
        <v>161588.4</v>
      </c>
      <c r="O62">
        <f>$M62*$K43+$J$43</f>
        <v>159427.51999999999</v>
      </c>
      <c r="P62">
        <f>$M62*$N43+$M$43</f>
        <v>134353.09999999998</v>
      </c>
    </row>
    <row r="63" spans="1:16" x14ac:dyDescent="0.2">
      <c r="A63" t="s">
        <v>47</v>
      </c>
      <c r="B63">
        <v>0</v>
      </c>
      <c r="C63">
        <v>0</v>
      </c>
      <c r="M63">
        <v>1700</v>
      </c>
      <c r="N63">
        <f>$M63*$N41+$M$41</f>
        <v>167020.4</v>
      </c>
      <c r="O63">
        <f>$M63*$K43+$J$43</f>
        <v>168143.52</v>
      </c>
      <c r="P63">
        <f>$M63*$N43+$M$43</f>
        <v>137228.09999999998</v>
      </c>
    </row>
    <row r="64" spans="1:16" x14ac:dyDescent="0.2">
      <c r="A64" t="s">
        <v>48</v>
      </c>
      <c r="B64">
        <v>0</v>
      </c>
      <c r="C64">
        <v>0</v>
      </c>
      <c r="M64">
        <v>1800</v>
      </c>
      <c r="N64">
        <f>$M64*$N41+$M$41</f>
        <v>172452.4</v>
      </c>
      <c r="O64">
        <f>$M64*$K43+$J$43</f>
        <v>176859.51999999999</v>
      </c>
      <c r="P64">
        <f>$M64*$N43+$M$43</f>
        <v>140103.09999999998</v>
      </c>
    </row>
    <row r="65" spans="1:16" x14ac:dyDescent="0.2">
      <c r="A65" t="s">
        <v>51</v>
      </c>
      <c r="B65">
        <v>0</v>
      </c>
      <c r="C65">
        <v>0</v>
      </c>
      <c r="M65">
        <v>1900</v>
      </c>
      <c r="N65">
        <f>$M65*$N41+$M$41</f>
        <v>177884.4</v>
      </c>
      <c r="O65">
        <f>$M65*$K43+$J$43</f>
        <v>185575.52</v>
      </c>
      <c r="P65">
        <f>$M65*$N43+$M$43</f>
        <v>142978.09999999998</v>
      </c>
    </row>
    <row r="66" spans="1:16" x14ac:dyDescent="0.2">
      <c r="A66" t="s">
        <v>52</v>
      </c>
      <c r="B66">
        <v>0</v>
      </c>
      <c r="C66">
        <v>0</v>
      </c>
      <c r="M66">
        <v>2000</v>
      </c>
      <c r="N66">
        <f>$M66*$N41+$M$41</f>
        <v>183316.4</v>
      </c>
      <c r="O66">
        <f>$M66*$K43+$J$43</f>
        <v>194291.52</v>
      </c>
      <c r="P66">
        <f>$M66*$N43+$M$43</f>
        <v>145853.09999999998</v>
      </c>
    </row>
    <row r="67" spans="1:16" x14ac:dyDescent="0.2">
      <c r="A67" t="s">
        <v>53</v>
      </c>
      <c r="B67">
        <v>0</v>
      </c>
      <c r="C67">
        <v>0</v>
      </c>
      <c r="M67">
        <v>2100</v>
      </c>
      <c r="N67">
        <f>$M67*$N41+$M$41</f>
        <v>188748.4</v>
      </c>
      <c r="O67">
        <f>$M67*$K43+$J$43</f>
        <v>203007.52</v>
      </c>
      <c r="P67">
        <f>$M67*$N43+$M$43</f>
        <v>148728.09999999998</v>
      </c>
    </row>
    <row r="68" spans="1:16" x14ac:dyDescent="0.2">
      <c r="A68" t="s">
        <v>54</v>
      </c>
      <c r="B68">
        <v>0</v>
      </c>
      <c r="C68">
        <v>0</v>
      </c>
      <c r="M68">
        <v>2200</v>
      </c>
      <c r="N68">
        <f>$M68*$N41+$M$41</f>
        <v>194180.4</v>
      </c>
      <c r="O68">
        <f>$M68*$K43+$J$43</f>
        <v>211723.51999999999</v>
      </c>
      <c r="P68">
        <f>$M68*$N43+$M$43</f>
        <v>151603.09999999998</v>
      </c>
    </row>
    <row r="69" spans="1:16" x14ac:dyDescent="0.2">
      <c r="A69" t="s">
        <v>56</v>
      </c>
      <c r="B69">
        <v>0</v>
      </c>
      <c r="C69">
        <v>0</v>
      </c>
      <c r="M69">
        <v>2300</v>
      </c>
      <c r="N69">
        <f>$M69*$N41+$M$41</f>
        <v>199612.4</v>
      </c>
      <c r="O69">
        <f>$M69*$K43+$J$43</f>
        <v>220439.52</v>
      </c>
      <c r="P69">
        <f>$M69*$N43+$M$43</f>
        <v>154478.09999999998</v>
      </c>
    </row>
    <row r="70" spans="1:16" x14ac:dyDescent="0.2">
      <c r="A70" t="s">
        <v>58</v>
      </c>
      <c r="B70">
        <v>0</v>
      </c>
      <c r="C70">
        <v>0</v>
      </c>
      <c r="M70">
        <v>2400</v>
      </c>
      <c r="N70">
        <f>$M70*$N41+$M$41</f>
        <v>205044.4</v>
      </c>
      <c r="O70">
        <f>$M70*$K43+$J$43</f>
        <v>229155.52</v>
      </c>
      <c r="P70">
        <f>$M70*$N43+$M$43</f>
        <v>157353.09999999998</v>
      </c>
    </row>
    <row r="71" spans="1:16" x14ac:dyDescent="0.2">
      <c r="A71" t="s">
        <v>67</v>
      </c>
      <c r="B71">
        <v>0</v>
      </c>
      <c r="C71">
        <v>0</v>
      </c>
      <c r="M71">
        <v>2500</v>
      </c>
      <c r="N71">
        <f>$M71*$N41+$M$41</f>
        <v>210476.4</v>
      </c>
      <c r="O71">
        <f>$M71*$K43+$J$43</f>
        <v>237871.52</v>
      </c>
      <c r="P71">
        <f>$M71*$N43+$M$43</f>
        <v>160228.09999999998</v>
      </c>
    </row>
    <row r="72" spans="1:16" x14ac:dyDescent="0.2">
      <c r="A72" t="s">
        <v>68</v>
      </c>
      <c r="B72">
        <v>0</v>
      </c>
      <c r="C72">
        <v>0</v>
      </c>
      <c r="M72">
        <v>2600</v>
      </c>
      <c r="N72">
        <f>$M72*$N41+$M$41</f>
        <v>215908.4</v>
      </c>
      <c r="O72">
        <f>$M72*$K43+$J$43</f>
        <v>246587.51999999999</v>
      </c>
      <c r="P72">
        <f>$M72*$N43+$M$43</f>
        <v>163103.09999999998</v>
      </c>
    </row>
    <row r="73" spans="1:16" x14ac:dyDescent="0.2">
      <c r="A73" t="s">
        <v>69</v>
      </c>
      <c r="B73">
        <v>0</v>
      </c>
      <c r="C73">
        <v>0</v>
      </c>
      <c r="M73">
        <v>2700</v>
      </c>
      <c r="N73">
        <f>$M73*$N41+$M$41</f>
        <v>221340.4</v>
      </c>
      <c r="O73">
        <f>$M73*$K43+$J$43</f>
        <v>255303.52</v>
      </c>
      <c r="P73">
        <f>$M73*$N43+$M$43</f>
        <v>165978.09999999998</v>
      </c>
    </row>
    <row r="74" spans="1:16" x14ac:dyDescent="0.2">
      <c r="A74" t="s">
        <v>70</v>
      </c>
      <c r="B74">
        <v>0</v>
      </c>
      <c r="C74">
        <v>0</v>
      </c>
    </row>
    <row r="75" spans="1:16" x14ac:dyDescent="0.2">
      <c r="A75" t="s">
        <v>71</v>
      </c>
      <c r="B75">
        <v>0</v>
      </c>
      <c r="C75">
        <v>0</v>
      </c>
    </row>
    <row r="76" spans="1:16" x14ac:dyDescent="0.2">
      <c r="A76" t="s">
        <v>72</v>
      </c>
      <c r="B76">
        <v>0</v>
      </c>
      <c r="C76">
        <v>0</v>
      </c>
    </row>
    <row r="77" spans="1:16" x14ac:dyDescent="0.2">
      <c r="A77" t="s">
        <v>73</v>
      </c>
      <c r="B77">
        <v>0</v>
      </c>
      <c r="C77">
        <v>0</v>
      </c>
    </row>
    <row r="78" spans="1:16" x14ac:dyDescent="0.2">
      <c r="A78" t="s">
        <v>77</v>
      </c>
      <c r="B78">
        <v>0</v>
      </c>
      <c r="C78">
        <v>0</v>
      </c>
    </row>
    <row r="79" spans="1:16" x14ac:dyDescent="0.2">
      <c r="A79" t="s">
        <v>78</v>
      </c>
      <c r="B79">
        <v>0</v>
      </c>
      <c r="C79">
        <v>0</v>
      </c>
    </row>
    <row r="80" spans="1:16" x14ac:dyDescent="0.2">
      <c r="A80" t="s">
        <v>79</v>
      </c>
      <c r="B80">
        <v>0</v>
      </c>
      <c r="C80">
        <v>0</v>
      </c>
    </row>
    <row r="81" spans="1:3" x14ac:dyDescent="0.2">
      <c r="A81" t="s">
        <v>81</v>
      </c>
      <c r="B81">
        <v>0</v>
      </c>
      <c r="C81">
        <v>0</v>
      </c>
    </row>
  </sheetData>
  <sortState xmlns:xlrd2="http://schemas.microsoft.com/office/spreadsheetml/2017/richdata2" ref="A2:C81">
    <sortCondition descending="1" ref="B2:B81"/>
  </sortState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27:I30"/>
  <sheetViews>
    <sheetView tabSelected="1" workbookViewId="0">
      <selection activeCell="H29" sqref="H29"/>
    </sheetView>
  </sheetViews>
  <sheetFormatPr baseColWidth="10" defaultRowHeight="16" x14ac:dyDescent="0.2"/>
  <cols>
    <col min="6" max="6" width="16.83203125" bestFit="1" customWidth="1"/>
    <col min="8" max="8" width="13" bestFit="1" customWidth="1"/>
  </cols>
  <sheetData>
    <row r="27" spans="6:9" x14ac:dyDescent="0.2">
      <c r="F27" s="3"/>
      <c r="G27" s="3" t="s">
        <v>88</v>
      </c>
      <c r="H27" s="3" t="s">
        <v>90</v>
      </c>
      <c r="I27" s="3" t="s">
        <v>89</v>
      </c>
    </row>
    <row r="28" spans="6:9" x14ac:dyDescent="0.2">
      <c r="F28" s="3" t="s">
        <v>85</v>
      </c>
      <c r="G28" s="3">
        <v>0.85270000000000001</v>
      </c>
      <c r="H28" s="3">
        <v>1.6439999999999999</v>
      </c>
      <c r="I28" s="3"/>
    </row>
    <row r="29" spans="6:9" x14ac:dyDescent="0.2">
      <c r="F29" s="3" t="s">
        <v>86</v>
      </c>
      <c r="G29" s="3">
        <v>0.86660000000000004</v>
      </c>
      <c r="H29" s="3">
        <v>1.4119999999999999</v>
      </c>
      <c r="I29" s="3"/>
    </row>
    <row r="30" spans="6:9" x14ac:dyDescent="0.2">
      <c r="F30" s="3" t="s">
        <v>87</v>
      </c>
      <c r="G30" s="3">
        <v>0.85219999999999996</v>
      </c>
      <c r="H30" s="3">
        <v>1.6439999999999999</v>
      </c>
      <c r="I3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na_summary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Kennedy</dc:creator>
  <cp:lastModifiedBy>Sean Kennedy</cp:lastModifiedBy>
  <dcterms:created xsi:type="dcterms:W3CDTF">2019-08-14T23:57:38Z</dcterms:created>
  <dcterms:modified xsi:type="dcterms:W3CDTF">2019-08-16T22:15:47Z</dcterms:modified>
</cp:coreProperties>
</file>